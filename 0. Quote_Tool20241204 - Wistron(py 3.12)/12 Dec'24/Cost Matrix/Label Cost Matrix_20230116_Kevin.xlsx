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.sharepoint.com/teams/psgonbpbm/PBM Team Update/Label Matrix/"/>
    </mc:Choice>
  </mc:AlternateContent>
  <xr:revisionPtr revIDLastSave="0" documentId="8_{CF1D4C85-59AC-40DB-8F26-A3E526B0AA3B}" xr6:coauthVersionLast="47" xr6:coauthVersionMax="47" xr10:uidLastSave="{00000000-0000-0000-0000-000000000000}"/>
  <bookViews>
    <workbookView minimized="1" xWindow="2290" yWindow="60" windowWidth="14870" windowHeight="9860" firstSheet="2" activeTab="2" xr2:uid="{771E1C4A-0362-4EE3-AF71-D9A14060C111}"/>
  </bookViews>
  <sheets>
    <sheet name="Change Log" sheetId="4" r:id="rId1"/>
    <sheet name="Process Flow" sheetId="3" r:id="rId2"/>
    <sheet name="Label Matrix" sheetId="1" r:id="rId3"/>
  </sheets>
  <definedNames>
    <definedName name="_xlnm._FilterDatabase" localSheetId="2" hidden="1">'Label Matrix'!$B$2:$J$54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20" i="1"/>
  <c r="L10" i="1" l="1"/>
  <c r="L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Candy Chiang</author>
  </authors>
  <commentList>
    <comment ref="K2" authorId="0" shapeId="0" xr:uid="{40DE9AA1-FD0E-4E03-B475-C80E311F4521}">
      <text>
        <r>
          <rPr>
            <b/>
            <sz val="9"/>
            <color indexed="81"/>
            <rFont val="Tahoma"/>
            <family val="2"/>
          </rPr>
          <t>Candy Chiang:</t>
        </r>
        <r>
          <rPr>
            <sz val="9"/>
            <color indexed="81"/>
            <rFont val="Tahoma"/>
            <family val="2"/>
          </rPr>
          <t xml:space="preserve">
For New added label, the original cost is $0</t>
        </r>
      </text>
    </comment>
    <comment ref="M2" authorId="0" shapeId="0" xr:uid="{C25C8E87-4AB3-41B7-AD42-4DF99AF19852}">
      <text>
        <r>
          <rPr>
            <b/>
            <sz val="9"/>
            <color indexed="81"/>
            <rFont val="Tahoma"/>
            <family val="2"/>
          </rPr>
          <t xml:space="preserve">Candy Chiang:
</t>
        </r>
        <r>
          <rPr>
            <sz val="9"/>
            <color indexed="81"/>
            <rFont val="Tahoma"/>
            <family val="2"/>
          </rPr>
          <t>Final Lable Cost (Not Adder)</t>
        </r>
      </text>
    </comment>
  </commentList>
</comments>
</file>

<file path=xl/sharedStrings.xml><?xml version="1.0" encoding="utf-8"?>
<sst xmlns="http://schemas.openxmlformats.org/spreadsheetml/2006/main" count="367" uniqueCount="156">
  <si>
    <t>Rev</t>
  </si>
  <si>
    <t>Change Log</t>
  </si>
  <si>
    <t>Date</t>
  </si>
  <si>
    <t>Rev A</t>
  </si>
  <si>
    <t>Add column of 
1. Select Spec change or new added
2. Add column to record original cost</t>
  </si>
  <si>
    <t>Rev B</t>
  </si>
  <si>
    <t>Update process description</t>
  </si>
  <si>
    <t>Rev C</t>
  </si>
  <si>
    <t>Update CIR owner to Eliza Huang for cNB</t>
  </si>
  <si>
    <t>Process Flow (update 2019/6/21)</t>
  </si>
  <si>
    <t>Spec Change</t>
  </si>
  <si>
    <t>ODM raise label cost request</t>
  </si>
  <si>
    <t>New Added</t>
  </si>
  <si>
    <t>QM screening and send RFQ manager for cost approval</t>
  </si>
  <si>
    <t>Remark in mail if the cost was approved in other ODM before</t>
  </si>
  <si>
    <t>Remark in mail if there's deadline for approval (in order to not gating monthly quote closure)</t>
  </si>
  <si>
    <t xml:space="preserve">RFQ Manager negotiate with ODM and provide comment/Approval </t>
  </si>
  <si>
    <t>QM Update label Matrix once cost is approved</t>
  </si>
  <si>
    <t>Label cost recorded in Matrix should be full cost, not "adder"</t>
  </si>
  <si>
    <t>Original cost is $0 for new added label</t>
  </si>
  <si>
    <t xml:space="preserve">QM update CPC tracker </t>
  </si>
  <si>
    <t>Consumer Focal Point: Eliza Huang</t>
  </si>
  <si>
    <t>Commercial Focal Point: Ivory Hsu</t>
  </si>
  <si>
    <t xml:space="preserve">Platform Information </t>
  </si>
  <si>
    <t>Cost Information</t>
  </si>
  <si>
    <t>Request Date</t>
  </si>
  <si>
    <t>Quote Manager</t>
  </si>
  <si>
    <t>ODM</t>
  </si>
  <si>
    <t>HP P/N</t>
  </si>
  <si>
    <t>Description</t>
  </si>
  <si>
    <t>Product Line</t>
  </si>
  <si>
    <t>Impact Platform</t>
  </si>
  <si>
    <t>Spec Change / 
New Added</t>
  </si>
  <si>
    <t>Reason for Change</t>
  </si>
  <si>
    <t>Original Label Cost</t>
  </si>
  <si>
    <t>ODM Proposed Cost</t>
  </si>
  <si>
    <t>Approved Cost</t>
  </si>
  <si>
    <t>Approval Date</t>
  </si>
  <si>
    <t>Due date</t>
  </si>
  <si>
    <t>Approved Person / Comment</t>
  </si>
  <si>
    <t>Tracy Hong</t>
  </si>
  <si>
    <t>Quanta</t>
  </si>
  <si>
    <t>L47783-AA1</t>
  </si>
  <si>
    <t>Lbl, Box Office H&amp;S China</t>
  </si>
  <si>
    <t>Commercial</t>
  </si>
  <si>
    <t>Bumblebee/Megatron/Reiley/Ramia/Reef/Ram6U/Pigeon/Pelican</t>
  </si>
  <si>
    <t xml:space="preserve">new label added by DCR </t>
  </si>
  <si>
    <t>Approved cost eff 1/1/2019, confirmed by Ivory Hsu</t>
  </si>
  <si>
    <t>L39847-001</t>
  </si>
  <si>
    <t>LBL, NBU C Cover Privacy</t>
  </si>
  <si>
    <t>Bumblebee/Vortex/Zigzag</t>
  </si>
  <si>
    <t>L39847-002</t>
  </si>
  <si>
    <t>LBL,  NBU C Cover Privacy TM only</t>
  </si>
  <si>
    <t>L38002-001</t>
  </si>
  <si>
    <t>LBL, NBU Pen Magnet Attach cling</t>
  </si>
  <si>
    <t>Bumblebee</t>
  </si>
  <si>
    <t>Confirmed by Erika Diaz</t>
  </si>
  <si>
    <t>Kevin Huang</t>
  </si>
  <si>
    <t>Compal</t>
  </si>
  <si>
    <t>834436-005</t>
  </si>
  <si>
    <t>LBL, INDIA SUPPORT 2019</t>
  </si>
  <si>
    <t>Zoltar, Venetian, Aria, Affleck, Vaughn, Zane</t>
  </si>
  <si>
    <t>added 3 color printing</t>
  </si>
  <si>
    <t>Confirmed by Ivy Chang</t>
  </si>
  <si>
    <t>Consumer</t>
  </si>
  <si>
    <t>Jaguars, Lions, Buffaloes, Targaryen, Potter, Weasley, Stingray, Maldives, Falafel</t>
  </si>
  <si>
    <t>William Qu</t>
  </si>
  <si>
    <t>L49683-AA4</t>
  </si>
  <si>
    <t>Lbl, Unit Office H&amp;S 30mm China 2019 (L49683-AA4)</t>
  </si>
  <si>
    <t>Spiderman/Moment/Trifle/Lannister/Carp/Martell/Colts/Superman/Bolton/Baysters/Dragons</t>
  </si>
  <si>
    <t>confirmed by Eliza Huang</t>
  </si>
  <si>
    <t>Colts/Lollipop/Trifle/Pirates/Marlin</t>
  </si>
  <si>
    <t>label printing update. ODM raise cost up request</t>
  </si>
  <si>
    <t>Regent/Royal</t>
  </si>
  <si>
    <t>Lindsay Pan</t>
  </si>
  <si>
    <t>IEC</t>
  </si>
  <si>
    <t>L47783-001</t>
  </si>
  <si>
    <t>Lbl, Box  Office H&amp;S</t>
  </si>
  <si>
    <t>Blurr/Computron/Longhaul/Skyfire/Trypticon</t>
  </si>
  <si>
    <t>Glen Su</t>
  </si>
  <si>
    <t>Wistron</t>
  </si>
  <si>
    <t>L17955-004</t>
  </si>
  <si>
    <t>LBL, Box Africa PPP disclaimer BK</t>
  </si>
  <si>
    <t>Added before CIR process; vender is worldmark</t>
  </si>
  <si>
    <t>L49683-AA1</t>
  </si>
  <si>
    <t>Lbl, Unit Office H&amp;S 30mm China</t>
  </si>
  <si>
    <t>L49683-001</t>
  </si>
  <si>
    <t>Lbl, Unit Office H&amp;S 30mm</t>
  </si>
  <si>
    <t>L02734-005</t>
  </si>
  <si>
    <t>LBL, NBB IATA BATTERY 2017 FCAN</t>
  </si>
  <si>
    <t>Added before CIR process</t>
  </si>
  <si>
    <t>849985-004</t>
  </si>
  <si>
    <t>LBL, Box ISED FCC ID 2.4X2.25</t>
  </si>
  <si>
    <t>Gamora</t>
  </si>
  <si>
    <t>Eliza Huang</t>
  </si>
  <si>
    <t>L17955-003</t>
  </si>
  <si>
    <t>LBL, Box  Africa  PPP disclaimer</t>
  </si>
  <si>
    <t>Lollipop</t>
  </si>
  <si>
    <t>L14982-005</t>
  </si>
  <si>
    <t>LBL, NBU 240Hz Refresh 26x11mm</t>
  </si>
  <si>
    <t>L54561-001</t>
  </si>
  <si>
    <t>LBL, Box Belarus Telecom</t>
  </si>
  <si>
    <t>Bayfield</t>
  </si>
  <si>
    <t>new label added by ECN</t>
  </si>
  <si>
    <t>approved by Finn Wu</t>
  </si>
  <si>
    <t>L56517-001</t>
  </si>
  <si>
    <t>Lbl, NBB LA Bundle 19C1</t>
  </si>
  <si>
    <t>Bolton</t>
  </si>
  <si>
    <t>Added this basic on PM ;vender is worldmark-Eliza Huang</t>
  </si>
  <si>
    <t>L56517-003</t>
  </si>
  <si>
    <t>Lbl, NBB EN Bundle 19C1</t>
  </si>
  <si>
    <t>Martell</t>
  </si>
  <si>
    <t>L78704-001</t>
  </si>
  <si>
    <t>LBL, Box, Thai, NBTC Exemption Markings (L78704-001)</t>
  </si>
  <si>
    <t>Nimbatus/Spiderman/Langkawi/Duskers/Mormont/Tully/Bolton/Rebak/Lannister/Wikus/Andaman</t>
  </si>
  <si>
    <t>Jill Hsu</t>
  </si>
  <si>
    <t>M12162-002</t>
  </si>
  <si>
    <t>LBL, NBU Onsite Carepack Prem</t>
  </si>
  <si>
    <t>Baffin/DRX/Rainer/Spiderman/Superman</t>
  </si>
  <si>
    <t>L96086-001</t>
  </si>
  <si>
    <t>LBL, NBU Discover HP Accs US</t>
  </si>
  <si>
    <t>Consumer/
Commercial</t>
  </si>
  <si>
    <t>Rimu/Redbay/Redpine/Pecan/Andaman6U/Hornbill/Mockingbird/Bulbul/Ovenbird/Bruno/Reeds/Rabon/Raritan/Petrof/Peconic</t>
  </si>
  <si>
    <t>L96086-002</t>
  </si>
  <si>
    <t>LBL, NBU Discover HP Accs Canada</t>
  </si>
  <si>
    <t>Burt Huang</t>
  </si>
  <si>
    <t>M08791-001</t>
  </si>
  <si>
    <t>LBL, NBU UAE Safety NB-007</t>
  </si>
  <si>
    <t>Potter/Weasley/Godzilla/Anders/Irwin/Cernan/Cyprus/Mallorca/Aldrin/Borman/Falafel/Herschel/Maldives/Milos/Santorini</t>
  </si>
  <si>
    <t>839311-002</t>
  </si>
  <si>
    <t xml:space="preserve">LABEL 1IH BOX MS 365 EN </t>
  </si>
  <si>
    <t>Potter/Weasley/Irwin/Cyprus/Mallorca/Aldrin/Borman/Herschel/Maldives/Milos/Santorini</t>
  </si>
  <si>
    <t xml:space="preserve">LBL, NBU UAE Safety NB-007 </t>
  </si>
  <si>
    <t>Able/Andaman/Baffin/Dezik/DRX/Duskers/Felicette/Gamora/Hubble/Kerbal/Langkawi/Lannister/Martell/Mormont/Nimbatus/Rainer/Rebak/Starmade/Strelka/Superman/Valkyrie/Wikus</t>
  </si>
  <si>
    <r>
      <t>M12</t>
    </r>
    <r>
      <rPr>
        <sz val="12"/>
        <rFont val="Calibri"/>
        <family val="2"/>
        <scheme val="minor"/>
      </rPr>
      <t>162-002</t>
    </r>
  </si>
  <si>
    <t xml:space="preserve">LBL, NBB France SAR disclaimer </t>
  </si>
  <si>
    <t>Able/Andaman/Andaman6U/Baffin/Bayfield/Bedarra/Bolton/Burrito/Cockatoo/Dezik/DRX/Duskers/Felicette/Gamora/Hubble/Kerbal/Langkawi/Langkawi6U/Lannister/Martell/Mormont/Mormont6U/Nimbatus/Pecan 14/Pecan 15/Rainer/Ramia/Rebak/Redbay/Redpine/Reef/Revere/Rimu/Spiderman/Starcraft/Starmade/Strelka/Superman/Tortilla/Trifle/Tully/Valkyrie/Wikus</t>
  </si>
  <si>
    <t>L96086-003</t>
  </si>
  <si>
    <t xml:space="preserve">Updated from L96086-001 by DCR </t>
  </si>
  <si>
    <t xml:space="preserve"> 9/24/2020</t>
  </si>
  <si>
    <t>L96086-004</t>
  </si>
  <si>
    <t xml:space="preserve">updated from L96086-002 by DCR </t>
  </si>
  <si>
    <t>M36886-004</t>
  </si>
  <si>
    <t>LBL, NBB TUV eyesafe 40x72 (M36886-004)</t>
  </si>
  <si>
    <t>Starcraft, Cybug, Dezik, Hendricks</t>
  </si>
  <si>
    <t xml:space="preserve">New label added by DCR </t>
  </si>
  <si>
    <t>L56517-006</t>
  </si>
  <si>
    <t>LBL, NBB LA Bundle 70X70mm (L56517-006)</t>
  </si>
  <si>
    <t>Andaman</t>
  </si>
  <si>
    <t>New added</t>
  </si>
  <si>
    <t>N30520-001</t>
  </si>
  <si>
    <t>LBL, NBB Thai Controlled products NB N30520-001 (SA: N30521-001)</t>
  </si>
  <si>
    <t>Turaco, Ohio, Survivor, Bjork, Radiohead, Nolets, Hendricks, Roku, Opihr, Bluejack, Redstart, Thundra14&amp;15, Thanos13&amp;14, Prima14&amp;15, Ronin15, Bonjovi, Cybug, Trixie, Vanellope, Ralph, Calhoun, Taffyta, Bergman, Hitchcock, Mckay, Ozu, Tarantino, Blondie, Daftpunk, Reeds, Petrof, Ionian14, Rabon, Raritan, Wikus, Dezik, Hubble, Strelka, Felicette, Rambo, Bulbul, Mockingbird, Hornbill, Rebak, Andaman, Langkawi</t>
  </si>
  <si>
    <t>N38662-001</t>
  </si>
  <si>
    <t>LBL, Box Triman WEEE (N38662-001)</t>
  </si>
  <si>
    <t>All platforms (#ABB (Euro) /#ABF (France) SKU)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</si>
</sst>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.0000"/>
    <numFmt numFmtId="166" formatCode="&quot;$&quot;#,##0.000"/>
  </numFmts>
  <fonts count="1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HP Simplified"/>
      <family val="2"/>
    </font>
    <font>
      <b/>
      <sz val="10"/>
      <color theme="1"/>
      <name val="HP Simplified"/>
      <family val="2"/>
    </font>
    <font>
      <sz val="10"/>
      <color rgb="FF00B0F0"/>
      <name val="HP Simplified"/>
      <family val="2"/>
    </font>
    <font>
      <sz val="10"/>
      <color theme="2" tint="-0.89999084444715716"/>
      <name val="HP Simplified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HP Simplified"/>
      <family val="2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Verdana"/>
      <family val="2"/>
    </font>
    <font>
      <sz val="9"/>
      <name val="Calibri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/>
    </xf>
    <xf numFmtId="14" fontId="10" fillId="3" borderId="0" xfId="0" applyNumberFormat="1" applyFont="1" applyFill="1"/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wrapText="1"/>
    </xf>
    <xf numFmtId="0" fontId="2" fillId="0" borderId="2" xfId="0" applyFont="1" applyBorder="1" applyAlignment="1">
      <alignment horizontal="left"/>
    </xf>
    <xf numFmtId="14" fontId="1" fillId="0" borderId="2" xfId="0" applyNumberFormat="1" applyFont="1" applyBorder="1"/>
    <xf numFmtId="14" fontId="13" fillId="4" borderId="1" xfId="0" applyNumberFormat="1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left" wrapText="1"/>
    </xf>
    <xf numFmtId="164" fontId="14" fillId="5" borderId="2" xfId="0" applyNumberFormat="1" applyFont="1" applyFill="1" applyBorder="1" applyAlignment="1">
      <alignment horizontal="center"/>
    </xf>
    <xf numFmtId="0" fontId="15" fillId="6" borderId="2" xfId="0" applyFont="1" applyFill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0" fillId="7" borderId="6" xfId="0" applyFont="1" applyFill="1" applyBorder="1"/>
    <xf numFmtId="0" fontId="10" fillId="7" borderId="0" xfId="0" applyFont="1" applyFill="1"/>
    <xf numFmtId="14" fontId="16" fillId="0" borderId="1" xfId="0" applyNumberFormat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center" wrapText="1"/>
    </xf>
    <xf numFmtId="164" fontId="16" fillId="0" borderId="2" xfId="0" applyNumberFormat="1" applyFont="1" applyBorder="1" applyAlignment="1">
      <alignment horizontal="center"/>
    </xf>
    <xf numFmtId="165" fontId="16" fillId="0" borderId="2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0" xfId="0" applyFont="1"/>
    <xf numFmtId="14" fontId="10" fillId="7" borderId="4" xfId="0" applyNumberFormat="1" applyFont="1" applyFill="1" applyBorder="1"/>
    <xf numFmtId="14" fontId="13" fillId="8" borderId="2" xfId="0" applyNumberFormat="1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4" fontId="12" fillId="0" borderId="0" xfId="0" applyNumberFormat="1" applyFont="1" applyAlignment="1">
      <alignment horizontal="left"/>
    </xf>
    <xf numFmtId="166" fontId="1" fillId="0" borderId="2" xfId="0" applyNumberFormat="1" applyFont="1" applyBorder="1" applyAlignment="1">
      <alignment horizontal="center"/>
    </xf>
    <xf numFmtId="0" fontId="17" fillId="0" borderId="0" xfId="0" applyFont="1"/>
    <xf numFmtId="0" fontId="2" fillId="0" borderId="2" xfId="0" applyFont="1" applyBorder="1" applyAlignment="1">
      <alignment horizontal="center" wrapText="1"/>
    </xf>
    <xf numFmtId="0" fontId="1" fillId="0" borderId="2" xfId="0" applyFont="1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3</xdr:row>
      <xdr:rowOff>21506</xdr:rowOff>
    </xdr:from>
    <xdr:to>
      <xdr:col>10</xdr:col>
      <xdr:colOff>563309</xdr:colOff>
      <xdr:row>6</xdr:row>
      <xdr:rowOff>158621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285BAB-2421-4931-A2DC-2C6DF7642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00" y="364406"/>
          <a:ext cx="8780209" cy="613365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14</xdr:row>
      <xdr:rowOff>44450</xdr:rowOff>
    </xdr:from>
    <xdr:to>
      <xdr:col>3</xdr:col>
      <xdr:colOff>0</xdr:colOff>
      <xdr:row>14</xdr:row>
      <xdr:rowOff>414988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AA8D32-43F3-4818-A6C7-E750230B3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2152650"/>
          <a:ext cx="3536950" cy="370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6F32-1340-45CF-82FC-E3F04EDFA1E2}">
  <dimension ref="B1:D5"/>
  <sheetViews>
    <sheetView workbookViewId="0">
      <selection activeCell="C15" sqref="C15"/>
    </sheetView>
  </sheetViews>
  <sheetFormatPr defaultColWidth="8.7109375" defaultRowHeight="13.5"/>
  <cols>
    <col min="1" max="1" width="1.7109375" style="35" customWidth="1"/>
    <col min="2" max="2" width="8.7109375" style="35"/>
    <col min="3" max="3" width="47.140625" style="35" customWidth="1"/>
    <col min="4" max="4" width="10.5703125" style="64" bestFit="1" customWidth="1"/>
    <col min="5" max="16384" width="8.7109375" style="35"/>
  </cols>
  <sheetData>
    <row r="1" spans="2:4" ht="3.6" customHeight="1"/>
    <row r="2" spans="2:4">
      <c r="B2" s="35" t="s">
        <v>0</v>
      </c>
      <c r="C2" s="35" t="s">
        <v>1</v>
      </c>
      <c r="D2" s="64" t="s">
        <v>2</v>
      </c>
    </row>
    <row r="3" spans="2:4" ht="40.5">
      <c r="B3" s="35" t="s">
        <v>3</v>
      </c>
      <c r="C3" s="36" t="s">
        <v>4</v>
      </c>
      <c r="D3" s="64">
        <v>43573</v>
      </c>
    </row>
    <row r="4" spans="2:4">
      <c r="B4" s="35" t="s">
        <v>5</v>
      </c>
      <c r="C4" s="35" t="s">
        <v>6</v>
      </c>
      <c r="D4" s="64">
        <v>43627</v>
      </c>
    </row>
    <row r="5" spans="2:4">
      <c r="B5" s="35" t="s">
        <v>7</v>
      </c>
      <c r="C5" s="35" t="s">
        <v>8</v>
      </c>
      <c r="D5" s="64">
        <v>43637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3471-EB04-4D4A-B3DC-F4160EA8C6F9}">
  <dimension ref="A1:C19"/>
  <sheetViews>
    <sheetView topLeftCell="B1" zoomScale="110" zoomScaleNormal="110" workbookViewId="0">
      <selection activeCell="C20" sqref="C20"/>
    </sheetView>
  </sheetViews>
  <sheetFormatPr defaultColWidth="8.7109375" defaultRowHeight="12.6"/>
  <cols>
    <col min="1" max="1" width="0" style="5" hidden="1" customWidth="1"/>
    <col min="2" max="2" width="6.140625" style="3" customWidth="1"/>
    <col min="3" max="3" width="53.42578125" style="4" customWidth="1"/>
    <col min="4" max="16384" width="8.7109375" style="5"/>
  </cols>
  <sheetData>
    <row r="1" spans="1:3" ht="2.1" customHeight="1"/>
    <row r="2" spans="1:3" s="8" customFormat="1">
      <c r="B2" s="6"/>
      <c r="C2" s="7" t="s">
        <v>9</v>
      </c>
    </row>
    <row r="3" spans="1:3">
      <c r="A3" s="5" t="s">
        <v>10</v>
      </c>
      <c r="B3" s="3">
        <v>1</v>
      </c>
      <c r="C3" s="2" t="s">
        <v>11</v>
      </c>
    </row>
    <row r="4" spans="1:3">
      <c r="A4" s="5" t="s">
        <v>12</v>
      </c>
      <c r="C4" s="2"/>
    </row>
    <row r="5" spans="1:3">
      <c r="C5" s="2"/>
    </row>
    <row r="6" spans="1:3">
      <c r="C6" s="2"/>
    </row>
    <row r="7" spans="1:3" ht="14.1" customHeight="1">
      <c r="C7" s="2"/>
    </row>
    <row r="8" spans="1:3">
      <c r="B8" s="3">
        <v>2</v>
      </c>
      <c r="C8" s="2" t="s">
        <v>13</v>
      </c>
    </row>
    <row r="9" spans="1:3">
      <c r="C9" s="9" t="s">
        <v>14</v>
      </c>
    </row>
    <row r="10" spans="1:3">
      <c r="C10" s="9" t="s">
        <v>15</v>
      </c>
    </row>
    <row r="11" spans="1:3" s="12" customFormat="1">
      <c r="B11" s="10">
        <v>3</v>
      </c>
      <c r="C11" s="11" t="s">
        <v>16</v>
      </c>
    </row>
    <row r="12" spans="1:3">
      <c r="B12" s="3">
        <v>4</v>
      </c>
      <c r="C12" s="2" t="s">
        <v>17</v>
      </c>
    </row>
    <row r="13" spans="1:3">
      <c r="C13" s="9" t="s">
        <v>18</v>
      </c>
    </row>
    <row r="14" spans="1:3">
      <c r="C14" s="9" t="s">
        <v>19</v>
      </c>
    </row>
    <row r="15" spans="1:3" ht="36.6" customHeight="1">
      <c r="C15" s="9"/>
    </row>
    <row r="16" spans="1:3">
      <c r="B16" s="3">
        <v>5</v>
      </c>
      <c r="C16" s="4" t="s">
        <v>20</v>
      </c>
    </row>
    <row r="18" spans="3:3">
      <c r="C18" s="4" t="s">
        <v>21</v>
      </c>
    </row>
    <row r="19" spans="3:3">
      <c r="C19" s="4" t="s">
        <v>22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00C8-CB6A-4CB5-BAC9-7803CC60DB1C}">
  <dimension ref="B1:P54"/>
  <sheetViews>
    <sheetView tabSelected="1" zoomScale="70" zoomScaleNormal="70" workbookViewId="0">
      <pane xSplit="1" ySplit="2" topLeftCell="B38" activePane="bottomRight" state="frozen"/>
      <selection pane="bottomRight" activeCell="G44" sqref="G44"/>
      <selection pane="bottomLeft" activeCell="A3" sqref="A3"/>
      <selection pane="topRight" activeCell="B1" sqref="B1"/>
    </sheetView>
  </sheetViews>
  <sheetFormatPr defaultColWidth="8.7109375" defaultRowHeight="15.6"/>
  <cols>
    <col min="1" max="1" width="0.85546875" style="1" customWidth="1"/>
    <col min="2" max="2" width="18.42578125" style="13" customWidth="1"/>
    <col min="3" max="3" width="16" style="14" customWidth="1"/>
    <col min="4" max="4" width="14.140625" style="14" customWidth="1"/>
    <col min="5" max="5" width="14.85546875" style="14" customWidth="1"/>
    <col min="6" max="6" width="51.140625" style="20" customWidth="1"/>
    <col min="7" max="7" width="13.5703125" style="21" customWidth="1"/>
    <col min="8" max="8" width="60.140625" style="20" customWidth="1"/>
    <col min="9" max="9" width="18.85546875" style="22" customWidth="1"/>
    <col min="10" max="10" width="20.7109375" style="24" customWidth="1"/>
    <col min="11" max="13" width="22.42578125" style="25" customWidth="1"/>
    <col min="14" max="14" width="17.5703125" style="15" customWidth="1"/>
    <col min="15" max="15" width="15.5703125" style="21" customWidth="1"/>
    <col min="16" max="16" width="47.42578125" style="16" bestFit="1" customWidth="1"/>
    <col min="17" max="16384" width="8.7109375" style="1"/>
  </cols>
  <sheetData>
    <row r="1" spans="2:16" s="34" customFormat="1" ht="34.5" customHeight="1">
      <c r="B1" s="29" t="s">
        <v>23</v>
      </c>
      <c r="C1" s="29"/>
      <c r="D1" s="29"/>
      <c r="E1" s="29"/>
      <c r="F1" s="29"/>
      <c r="G1" s="29"/>
      <c r="H1" s="29"/>
      <c r="I1" s="30"/>
      <c r="J1" s="31"/>
      <c r="K1" s="49" t="s">
        <v>24</v>
      </c>
      <c r="L1" s="50"/>
      <c r="M1" s="50"/>
      <c r="N1" s="61"/>
      <c r="O1" s="32"/>
      <c r="P1" s="33"/>
    </row>
    <row r="2" spans="2:16" s="48" customFormat="1" ht="35.1" customHeight="1">
      <c r="B2" s="39" t="s">
        <v>25</v>
      </c>
      <c r="C2" s="40" t="s">
        <v>26</v>
      </c>
      <c r="D2" s="40" t="s">
        <v>27</v>
      </c>
      <c r="E2" s="40" t="s">
        <v>28</v>
      </c>
      <c r="F2" s="41" t="s">
        <v>29</v>
      </c>
      <c r="G2" s="42" t="s">
        <v>30</v>
      </c>
      <c r="H2" s="41" t="s">
        <v>31</v>
      </c>
      <c r="I2" s="43" t="s">
        <v>32</v>
      </c>
      <c r="J2" s="44" t="s">
        <v>33</v>
      </c>
      <c r="K2" s="45" t="s">
        <v>34</v>
      </c>
      <c r="L2" s="45" t="s">
        <v>35</v>
      </c>
      <c r="M2" s="45" t="s">
        <v>36</v>
      </c>
      <c r="N2" s="62" t="s">
        <v>37</v>
      </c>
      <c r="O2" s="46" t="s">
        <v>38</v>
      </c>
      <c r="P2" s="47" t="s">
        <v>39</v>
      </c>
    </row>
    <row r="3" spans="2:16" ht="30.95">
      <c r="B3" s="13">
        <v>43536</v>
      </c>
      <c r="C3" s="17" t="s">
        <v>40</v>
      </c>
      <c r="D3" s="14" t="s">
        <v>41</v>
      </c>
      <c r="E3" s="17" t="s">
        <v>42</v>
      </c>
      <c r="F3" s="19" t="s">
        <v>43</v>
      </c>
      <c r="G3" s="37" t="s">
        <v>44</v>
      </c>
      <c r="H3" s="19" t="s">
        <v>45</v>
      </c>
      <c r="I3" s="67" t="s">
        <v>12</v>
      </c>
      <c r="J3" s="23" t="s">
        <v>46</v>
      </c>
      <c r="K3" s="28"/>
      <c r="L3" s="28">
        <v>0.06</v>
      </c>
      <c r="M3" s="26">
        <v>5.4600000000000003E-2</v>
      </c>
      <c r="N3" s="15">
        <v>43546</v>
      </c>
      <c r="O3" s="15"/>
      <c r="P3" s="16" t="s">
        <v>47</v>
      </c>
    </row>
    <row r="4" spans="2:16" ht="30.95">
      <c r="B4" s="13">
        <v>43536</v>
      </c>
      <c r="C4" s="17" t="s">
        <v>40</v>
      </c>
      <c r="D4" s="14" t="s">
        <v>41</v>
      </c>
      <c r="E4" s="17" t="s">
        <v>48</v>
      </c>
      <c r="F4" s="19" t="s">
        <v>49</v>
      </c>
      <c r="G4" s="37" t="s">
        <v>44</v>
      </c>
      <c r="H4" s="19" t="s">
        <v>50</v>
      </c>
      <c r="I4" s="67" t="s">
        <v>12</v>
      </c>
      <c r="J4" s="23" t="s">
        <v>46</v>
      </c>
      <c r="K4" s="28"/>
      <c r="L4" s="28">
        <v>9.5000000000000001E-2</v>
      </c>
      <c r="M4" s="26">
        <v>0.09</v>
      </c>
      <c r="N4" s="15">
        <v>43546</v>
      </c>
      <c r="O4" s="15"/>
      <c r="P4" s="16" t="s">
        <v>47</v>
      </c>
    </row>
    <row r="5" spans="2:16" ht="30.95">
      <c r="B5" s="13">
        <v>43536</v>
      </c>
      <c r="C5" s="17" t="s">
        <v>40</v>
      </c>
      <c r="D5" s="14" t="s">
        <v>41</v>
      </c>
      <c r="E5" s="17" t="s">
        <v>51</v>
      </c>
      <c r="F5" s="19" t="s">
        <v>52</v>
      </c>
      <c r="G5" s="37" t="s">
        <v>44</v>
      </c>
      <c r="H5" s="19" t="s">
        <v>50</v>
      </c>
      <c r="I5" s="67" t="s">
        <v>12</v>
      </c>
      <c r="J5" s="23" t="s">
        <v>46</v>
      </c>
      <c r="K5" s="28"/>
      <c r="L5" s="28">
        <v>9.5000000000000001E-2</v>
      </c>
      <c r="M5" s="26">
        <v>0.09</v>
      </c>
      <c r="N5" s="15">
        <v>43546</v>
      </c>
      <c r="O5" s="15"/>
      <c r="P5" s="16" t="s">
        <v>47</v>
      </c>
    </row>
    <row r="6" spans="2:16" ht="30.95">
      <c r="B6" s="13">
        <v>43536</v>
      </c>
      <c r="C6" s="17" t="s">
        <v>40</v>
      </c>
      <c r="D6" s="14" t="s">
        <v>41</v>
      </c>
      <c r="E6" s="17" t="s">
        <v>53</v>
      </c>
      <c r="F6" s="19" t="s">
        <v>54</v>
      </c>
      <c r="G6" s="37" t="s">
        <v>44</v>
      </c>
      <c r="H6" s="19" t="s">
        <v>55</v>
      </c>
      <c r="I6" s="67" t="s">
        <v>12</v>
      </c>
      <c r="J6" s="23" t="s">
        <v>46</v>
      </c>
      <c r="K6" s="28"/>
      <c r="L6" s="28">
        <v>0.121</v>
      </c>
      <c r="M6" s="26">
        <v>0.121</v>
      </c>
      <c r="N6" s="15">
        <v>43567</v>
      </c>
      <c r="O6" s="15"/>
      <c r="P6" s="16" t="s">
        <v>56</v>
      </c>
    </row>
    <row r="7" spans="2:16" ht="30.95">
      <c r="B7" s="13">
        <v>43537</v>
      </c>
      <c r="C7" s="17" t="s">
        <v>57</v>
      </c>
      <c r="D7" s="14" t="s">
        <v>58</v>
      </c>
      <c r="E7" s="17" t="s">
        <v>59</v>
      </c>
      <c r="F7" s="20" t="s">
        <v>60</v>
      </c>
      <c r="G7" s="18" t="s">
        <v>44</v>
      </c>
      <c r="H7" s="19" t="s">
        <v>61</v>
      </c>
      <c r="I7" s="67" t="s">
        <v>10</v>
      </c>
      <c r="J7" s="23" t="s">
        <v>62</v>
      </c>
      <c r="K7" s="27">
        <v>7.4300000000000005E-2</v>
      </c>
      <c r="L7" s="25">
        <v>0.12089999999999999</v>
      </c>
      <c r="M7" s="27">
        <v>7.4300000000000005E-2</v>
      </c>
      <c r="N7" s="15">
        <v>43543</v>
      </c>
      <c r="O7" s="15"/>
      <c r="P7" s="16" t="s">
        <v>63</v>
      </c>
    </row>
    <row r="8" spans="2:16" ht="30.95">
      <c r="B8" s="13">
        <v>43537</v>
      </c>
      <c r="C8" s="17" t="s">
        <v>57</v>
      </c>
      <c r="D8" s="14" t="s">
        <v>58</v>
      </c>
      <c r="E8" s="17" t="s">
        <v>59</v>
      </c>
      <c r="F8" s="20" t="s">
        <v>60</v>
      </c>
      <c r="G8" s="18" t="s">
        <v>64</v>
      </c>
      <c r="H8" s="19" t="s">
        <v>65</v>
      </c>
      <c r="I8" s="67" t="s">
        <v>10</v>
      </c>
      <c r="J8" s="23" t="s">
        <v>62</v>
      </c>
      <c r="K8" s="27">
        <v>7.4300000000000005E-2</v>
      </c>
      <c r="L8" s="25">
        <v>0.12089999999999999</v>
      </c>
      <c r="M8" s="27">
        <v>7.4300000000000005E-2</v>
      </c>
      <c r="N8" s="15">
        <v>43543</v>
      </c>
      <c r="O8" s="15"/>
      <c r="P8" s="16" t="s">
        <v>63</v>
      </c>
    </row>
    <row r="9" spans="2:16" ht="30.95">
      <c r="B9" s="13">
        <v>43557</v>
      </c>
      <c r="C9" s="14" t="s">
        <v>66</v>
      </c>
      <c r="D9" s="14" t="s">
        <v>41</v>
      </c>
      <c r="E9" s="14" t="s">
        <v>67</v>
      </c>
      <c r="F9" s="20" t="s">
        <v>68</v>
      </c>
      <c r="G9" s="18" t="s">
        <v>64</v>
      </c>
      <c r="H9" s="20" t="s">
        <v>69</v>
      </c>
      <c r="I9" s="22" t="s">
        <v>12</v>
      </c>
      <c r="J9" s="23" t="s">
        <v>46</v>
      </c>
      <c r="L9" s="25">
        <v>4.1200000000000001E-2</v>
      </c>
      <c r="M9" s="25">
        <v>4.1200000000000001E-2</v>
      </c>
      <c r="N9" s="15">
        <v>43572</v>
      </c>
      <c r="O9" s="38">
        <v>43571</v>
      </c>
      <c r="P9" s="16" t="s">
        <v>70</v>
      </c>
    </row>
    <row r="10" spans="2:16" ht="46.5">
      <c r="B10" s="13">
        <v>43565</v>
      </c>
      <c r="C10" s="17" t="s">
        <v>40</v>
      </c>
      <c r="D10" s="14" t="s">
        <v>41</v>
      </c>
      <c r="E10" s="17" t="s">
        <v>59</v>
      </c>
      <c r="F10" s="20" t="s">
        <v>60</v>
      </c>
      <c r="G10" s="18" t="s">
        <v>64</v>
      </c>
      <c r="H10" s="19" t="s">
        <v>71</v>
      </c>
      <c r="I10" s="67" t="s">
        <v>10</v>
      </c>
      <c r="J10" s="24" t="s">
        <v>72</v>
      </c>
      <c r="K10" s="28"/>
      <c r="L10" s="25">
        <f>0.127-0.09</f>
        <v>3.7000000000000005E-2</v>
      </c>
      <c r="M10" s="26">
        <v>0</v>
      </c>
      <c r="N10" s="15">
        <v>43565</v>
      </c>
      <c r="P10" s="16" t="s">
        <v>63</v>
      </c>
    </row>
    <row r="11" spans="2:16" ht="46.5">
      <c r="B11" s="13">
        <v>43565</v>
      </c>
      <c r="C11" s="17" t="s">
        <v>40</v>
      </c>
      <c r="D11" s="14" t="s">
        <v>41</v>
      </c>
      <c r="E11" s="17" t="s">
        <v>59</v>
      </c>
      <c r="F11" s="20" t="s">
        <v>60</v>
      </c>
      <c r="G11" s="18" t="s">
        <v>44</v>
      </c>
      <c r="H11" s="20" t="s">
        <v>73</v>
      </c>
      <c r="I11" s="67" t="s">
        <v>10</v>
      </c>
      <c r="J11" s="24" t="s">
        <v>72</v>
      </c>
      <c r="L11" s="25">
        <f>0.127-0.09</f>
        <v>3.7000000000000005E-2</v>
      </c>
      <c r="M11" s="26">
        <v>0</v>
      </c>
      <c r="N11" s="15">
        <v>43565</v>
      </c>
      <c r="P11" s="16" t="s">
        <v>63</v>
      </c>
    </row>
    <row r="12" spans="2:16" s="60" customFormat="1" ht="30.95">
      <c r="B12" s="51">
        <v>43579</v>
      </c>
      <c r="C12" s="52" t="s">
        <v>74</v>
      </c>
      <c r="D12" s="52" t="s">
        <v>75</v>
      </c>
      <c r="E12" s="52" t="s">
        <v>76</v>
      </c>
      <c r="F12" s="53" t="s">
        <v>77</v>
      </c>
      <c r="G12" s="54" t="s">
        <v>44</v>
      </c>
      <c r="H12" s="53" t="s">
        <v>78</v>
      </c>
      <c r="I12" s="55" t="s">
        <v>12</v>
      </c>
      <c r="J12" s="54" t="s">
        <v>46</v>
      </c>
      <c r="K12" s="56"/>
      <c r="L12" s="57">
        <v>5.4600000000000003E-2</v>
      </c>
      <c r="M12" s="57">
        <v>5.4600000000000003E-2</v>
      </c>
      <c r="N12" s="15">
        <v>43580</v>
      </c>
      <c r="O12" s="58"/>
      <c r="P12" s="59" t="s">
        <v>79</v>
      </c>
    </row>
    <row r="13" spans="2:16" ht="30.95">
      <c r="B13" s="13">
        <v>43454</v>
      </c>
      <c r="C13" s="14" t="s">
        <v>57</v>
      </c>
      <c r="D13" s="14" t="s">
        <v>80</v>
      </c>
      <c r="E13" s="14" t="s">
        <v>81</v>
      </c>
      <c r="F13" s="20" t="s">
        <v>82</v>
      </c>
      <c r="G13" s="21" t="s">
        <v>64</v>
      </c>
      <c r="I13" s="22" t="s">
        <v>12</v>
      </c>
      <c r="J13" s="24" t="s">
        <v>46</v>
      </c>
      <c r="L13" s="63">
        <v>9.6000000000000002E-2</v>
      </c>
      <c r="M13" s="63">
        <v>9.6000000000000002E-2</v>
      </c>
      <c r="N13" s="15">
        <v>43454</v>
      </c>
      <c r="P13" s="16" t="s">
        <v>83</v>
      </c>
    </row>
    <row r="14" spans="2:16" ht="30.95">
      <c r="B14" s="13">
        <v>43454</v>
      </c>
      <c r="C14" s="14" t="s">
        <v>57</v>
      </c>
      <c r="D14" s="14" t="s">
        <v>80</v>
      </c>
      <c r="E14" s="14" t="s">
        <v>84</v>
      </c>
      <c r="F14" s="20" t="s">
        <v>85</v>
      </c>
      <c r="G14" s="21" t="s">
        <v>64</v>
      </c>
      <c r="I14" s="22" t="s">
        <v>12</v>
      </c>
      <c r="J14" s="24" t="s">
        <v>46</v>
      </c>
      <c r="L14" s="63">
        <v>4.1200000000000001E-2</v>
      </c>
      <c r="M14" s="63">
        <v>4.1200000000000001E-2</v>
      </c>
      <c r="N14" s="15">
        <v>43454</v>
      </c>
      <c r="P14" s="16" t="s">
        <v>83</v>
      </c>
    </row>
    <row r="15" spans="2:16" ht="30.95">
      <c r="B15" s="13">
        <v>43454</v>
      </c>
      <c r="C15" s="14" t="s">
        <v>57</v>
      </c>
      <c r="D15" s="14" t="s">
        <v>80</v>
      </c>
      <c r="E15" s="14" t="s">
        <v>42</v>
      </c>
      <c r="F15" s="20" t="s">
        <v>43</v>
      </c>
      <c r="G15" s="21" t="s">
        <v>64</v>
      </c>
      <c r="I15" s="22" t="s">
        <v>12</v>
      </c>
      <c r="J15" s="24" t="s">
        <v>46</v>
      </c>
      <c r="L15" s="63">
        <v>5.4600000000000003E-2</v>
      </c>
      <c r="M15" s="63">
        <v>5.4600000000000003E-2</v>
      </c>
      <c r="N15" s="15">
        <v>43454</v>
      </c>
      <c r="P15" s="16" t="s">
        <v>83</v>
      </c>
    </row>
    <row r="16" spans="2:16" ht="30.95">
      <c r="B16" s="13">
        <v>43454</v>
      </c>
      <c r="C16" s="14" t="s">
        <v>57</v>
      </c>
      <c r="D16" s="14" t="s">
        <v>80</v>
      </c>
      <c r="E16" s="14" t="s">
        <v>86</v>
      </c>
      <c r="F16" s="20" t="s">
        <v>87</v>
      </c>
      <c r="G16" s="21" t="s">
        <v>64</v>
      </c>
      <c r="I16" s="22" t="s">
        <v>12</v>
      </c>
      <c r="J16" s="24" t="s">
        <v>46</v>
      </c>
      <c r="L16" s="63">
        <v>4.1200000000000001E-2</v>
      </c>
      <c r="M16" s="63">
        <v>4.1200000000000001E-2</v>
      </c>
      <c r="N16" s="15">
        <v>43454</v>
      </c>
      <c r="P16" s="16" t="s">
        <v>83</v>
      </c>
    </row>
    <row r="17" spans="2:16" ht="30.95">
      <c r="B17" s="13">
        <v>43454</v>
      </c>
      <c r="C17" s="14" t="s">
        <v>57</v>
      </c>
      <c r="D17" s="14" t="s">
        <v>80</v>
      </c>
      <c r="E17" s="14" t="s">
        <v>76</v>
      </c>
      <c r="F17" s="20" t="s">
        <v>77</v>
      </c>
      <c r="G17" s="21" t="s">
        <v>64</v>
      </c>
      <c r="I17" s="22" t="s">
        <v>12</v>
      </c>
      <c r="J17" s="24" t="s">
        <v>46</v>
      </c>
      <c r="L17" s="63">
        <v>5.4600000000000003E-2</v>
      </c>
      <c r="M17" s="63">
        <v>5.4600000000000003E-2</v>
      </c>
      <c r="N17" s="15">
        <v>43454</v>
      </c>
      <c r="P17" s="16" t="s">
        <v>83</v>
      </c>
    </row>
    <row r="18" spans="2:16" ht="30.95">
      <c r="B18" s="13">
        <v>43419</v>
      </c>
      <c r="C18" s="14" t="s">
        <v>57</v>
      </c>
      <c r="D18" s="14" t="s">
        <v>80</v>
      </c>
      <c r="E18" s="14" t="s">
        <v>88</v>
      </c>
      <c r="F18" s="20" t="s">
        <v>89</v>
      </c>
      <c r="G18" s="21" t="s">
        <v>64</v>
      </c>
      <c r="I18" s="22" t="s">
        <v>12</v>
      </c>
      <c r="J18" s="24" t="s">
        <v>46</v>
      </c>
      <c r="L18" s="63">
        <v>9.11E-2</v>
      </c>
      <c r="M18" s="63">
        <v>9.11E-2</v>
      </c>
      <c r="N18" s="15">
        <v>43419</v>
      </c>
      <c r="P18" s="16" t="s">
        <v>90</v>
      </c>
    </row>
    <row r="19" spans="2:16" ht="30.95">
      <c r="B19" s="13">
        <v>43420</v>
      </c>
      <c r="C19" s="14" t="s">
        <v>57</v>
      </c>
      <c r="D19" s="14" t="s">
        <v>80</v>
      </c>
      <c r="E19" s="14" t="s">
        <v>91</v>
      </c>
      <c r="F19" s="20" t="s">
        <v>92</v>
      </c>
      <c r="G19" s="21" t="s">
        <v>64</v>
      </c>
      <c r="I19" s="22" t="s">
        <v>12</v>
      </c>
      <c r="J19" s="24" t="s">
        <v>46</v>
      </c>
      <c r="L19" s="63">
        <v>0.05</v>
      </c>
      <c r="M19" s="63">
        <v>0.05</v>
      </c>
      <c r="N19" s="15">
        <v>43420</v>
      </c>
      <c r="P19" s="16" t="s">
        <v>90</v>
      </c>
    </row>
    <row r="20" spans="2:16" ht="30.95">
      <c r="B20" s="13">
        <v>43598</v>
      </c>
      <c r="C20" s="14" t="s">
        <v>66</v>
      </c>
      <c r="D20" s="14" t="s">
        <v>41</v>
      </c>
      <c r="E20" s="14" t="s">
        <v>81</v>
      </c>
      <c r="F20" s="20" t="s">
        <v>82</v>
      </c>
      <c r="G20" s="21" t="s">
        <v>64</v>
      </c>
      <c r="H20" s="20" t="s">
        <v>93</v>
      </c>
      <c r="I20" s="22" t="s">
        <v>12</v>
      </c>
      <c r="J20" s="24" t="s">
        <v>46</v>
      </c>
      <c r="L20" s="25">
        <v>9.6000000000000002E-2</v>
      </c>
      <c r="M20" s="14" t="e">
        <f>VLOOKUP(E:E,G39:O45,9,0)</f>
        <v>#N/A</v>
      </c>
      <c r="N20" s="15">
        <v>43829</v>
      </c>
      <c r="O20" s="38">
        <v>43656</v>
      </c>
      <c r="P20" s="16" t="s">
        <v>94</v>
      </c>
    </row>
    <row r="21" spans="2:16" ht="30.95">
      <c r="B21" s="13">
        <v>43598</v>
      </c>
      <c r="C21" s="14" t="s">
        <v>66</v>
      </c>
      <c r="D21" s="14" t="s">
        <v>41</v>
      </c>
      <c r="E21" s="14" t="s">
        <v>95</v>
      </c>
      <c r="F21" s="20" t="s">
        <v>96</v>
      </c>
      <c r="G21" s="21" t="s">
        <v>64</v>
      </c>
      <c r="H21" s="20" t="s">
        <v>97</v>
      </c>
      <c r="I21" s="22" t="s">
        <v>12</v>
      </c>
      <c r="J21" s="24" t="s">
        <v>46</v>
      </c>
      <c r="L21" s="25">
        <v>0.08</v>
      </c>
      <c r="M21" s="14" t="e">
        <f>VLOOKUP(E:E,G40:O46,9,0)</f>
        <v>#N/A</v>
      </c>
      <c r="N21" s="15">
        <v>43829</v>
      </c>
      <c r="O21" s="38">
        <v>43656</v>
      </c>
      <c r="P21" s="16" t="s">
        <v>94</v>
      </c>
    </row>
    <row r="22" spans="2:16" ht="30.95">
      <c r="B22" s="13">
        <v>43598</v>
      </c>
      <c r="C22" s="14" t="s">
        <v>66</v>
      </c>
      <c r="D22" s="14" t="s">
        <v>41</v>
      </c>
      <c r="E22" s="14" t="s">
        <v>98</v>
      </c>
      <c r="F22" s="20" t="s">
        <v>99</v>
      </c>
      <c r="G22" s="21" t="s">
        <v>64</v>
      </c>
      <c r="H22" s="20" t="s">
        <v>93</v>
      </c>
      <c r="I22" s="22" t="s">
        <v>12</v>
      </c>
      <c r="J22" s="24" t="s">
        <v>46</v>
      </c>
      <c r="L22" s="25">
        <v>2.7E-2</v>
      </c>
      <c r="M22" s="14">
        <v>2.7E-2</v>
      </c>
      <c r="N22" s="15">
        <v>43829</v>
      </c>
      <c r="O22" s="38">
        <v>43656</v>
      </c>
      <c r="P22" s="16" t="s">
        <v>94</v>
      </c>
    </row>
    <row r="23" spans="2:16" ht="30.95">
      <c r="B23" s="13">
        <v>43706</v>
      </c>
      <c r="C23" s="14" t="s">
        <v>40</v>
      </c>
      <c r="D23" s="14" t="s">
        <v>41</v>
      </c>
      <c r="E23" s="14" t="s">
        <v>100</v>
      </c>
      <c r="F23" s="20" t="s">
        <v>101</v>
      </c>
      <c r="G23" s="21" t="s">
        <v>44</v>
      </c>
      <c r="H23" s="20" t="s">
        <v>102</v>
      </c>
      <c r="I23" s="22" t="s">
        <v>12</v>
      </c>
      <c r="J23" s="24" t="s">
        <v>103</v>
      </c>
      <c r="L23" s="25">
        <v>1.4E-2</v>
      </c>
      <c r="M23" s="25">
        <v>1.4E-2</v>
      </c>
      <c r="N23" s="15">
        <v>43707</v>
      </c>
      <c r="O23" s="38">
        <v>43713</v>
      </c>
      <c r="P23" s="16" t="s">
        <v>104</v>
      </c>
    </row>
    <row r="24" spans="2:16" ht="30.95">
      <c r="B24" s="13">
        <v>43790</v>
      </c>
      <c r="C24" s="14" t="s">
        <v>66</v>
      </c>
      <c r="D24" s="14" t="s">
        <v>41</v>
      </c>
      <c r="E24" s="14" t="s">
        <v>105</v>
      </c>
      <c r="F24" s="20" t="s">
        <v>106</v>
      </c>
      <c r="G24" s="21" t="s">
        <v>64</v>
      </c>
      <c r="H24" s="20" t="s">
        <v>107</v>
      </c>
      <c r="I24" s="22" t="s">
        <v>12</v>
      </c>
      <c r="J24" s="24" t="s">
        <v>103</v>
      </c>
      <c r="L24" s="25">
        <v>0.12</v>
      </c>
      <c r="M24" s="25">
        <v>0.1</v>
      </c>
      <c r="N24" s="15">
        <v>43808</v>
      </c>
      <c r="O24" s="38">
        <v>43799</v>
      </c>
      <c r="P24" s="16" t="s">
        <v>108</v>
      </c>
    </row>
    <row r="25" spans="2:16" ht="32.25">
      <c r="B25" s="13">
        <v>43790</v>
      </c>
      <c r="C25" s="14" t="s">
        <v>66</v>
      </c>
      <c r="D25" s="14" t="s">
        <v>41</v>
      </c>
      <c r="E25" s="14" t="s">
        <v>109</v>
      </c>
      <c r="F25" s="20" t="s">
        <v>110</v>
      </c>
      <c r="G25" s="21" t="s">
        <v>64</v>
      </c>
      <c r="H25" s="20" t="s">
        <v>111</v>
      </c>
      <c r="I25" s="22" t="s">
        <v>12</v>
      </c>
      <c r="J25" s="24" t="s">
        <v>103</v>
      </c>
      <c r="L25" s="25">
        <v>0.12</v>
      </c>
      <c r="M25" s="25">
        <v>0.1</v>
      </c>
      <c r="N25" s="15">
        <v>43808</v>
      </c>
      <c r="O25" s="38">
        <v>43799</v>
      </c>
      <c r="P25" s="16" t="s">
        <v>108</v>
      </c>
    </row>
    <row r="26" spans="2:16" ht="30.95">
      <c r="B26" s="13">
        <v>43851</v>
      </c>
      <c r="C26" s="14" t="s">
        <v>66</v>
      </c>
      <c r="D26" s="14" t="s">
        <v>41</v>
      </c>
      <c r="E26" s="14" t="s">
        <v>112</v>
      </c>
      <c r="F26" s="20" t="s">
        <v>113</v>
      </c>
      <c r="G26" s="21" t="s">
        <v>64</v>
      </c>
      <c r="H26" s="20" t="s">
        <v>114</v>
      </c>
      <c r="I26" s="22" t="s">
        <v>12</v>
      </c>
      <c r="J26" s="24" t="s">
        <v>103</v>
      </c>
      <c r="L26" s="25">
        <v>7.0000000000000007E-2</v>
      </c>
      <c r="O26" s="38">
        <v>43876</v>
      </c>
    </row>
    <row r="27" spans="2:16" ht="30.95">
      <c r="B27" s="13">
        <v>43943</v>
      </c>
      <c r="C27" s="14" t="s">
        <v>115</v>
      </c>
      <c r="D27" s="14" t="s">
        <v>41</v>
      </c>
      <c r="E27" s="14" t="s">
        <v>116</v>
      </c>
      <c r="F27" s="20" t="s">
        <v>117</v>
      </c>
      <c r="G27" s="21" t="s">
        <v>64</v>
      </c>
      <c r="H27" s="20" t="s">
        <v>118</v>
      </c>
      <c r="I27" s="22" t="s">
        <v>12</v>
      </c>
      <c r="J27" s="24" t="s">
        <v>103</v>
      </c>
      <c r="L27" s="65">
        <v>0.16500000000000001</v>
      </c>
      <c r="M27" s="65">
        <v>0.16400000000000001</v>
      </c>
      <c r="N27" s="15">
        <v>43943</v>
      </c>
      <c r="O27" s="38"/>
      <c r="P27" s="16" t="s">
        <v>94</v>
      </c>
    </row>
    <row r="28" spans="2:16" ht="33" customHeight="1">
      <c r="B28" s="13">
        <v>43991</v>
      </c>
      <c r="C28" s="14" t="s">
        <v>57</v>
      </c>
      <c r="D28" s="14" t="s">
        <v>41</v>
      </c>
      <c r="E28" s="14" t="s">
        <v>119</v>
      </c>
      <c r="F28" s="20" t="s">
        <v>120</v>
      </c>
      <c r="G28" s="24" t="s">
        <v>121</v>
      </c>
      <c r="H28" s="20" t="s">
        <v>122</v>
      </c>
      <c r="I28" s="22" t="s">
        <v>12</v>
      </c>
      <c r="J28" s="24" t="s">
        <v>46</v>
      </c>
      <c r="L28" s="25">
        <v>2.1100000000000001E-2</v>
      </c>
      <c r="M28" s="25">
        <v>2.1100000000000001E-2</v>
      </c>
      <c r="N28" s="15">
        <v>43990</v>
      </c>
      <c r="P28" s="16" t="s">
        <v>94</v>
      </c>
    </row>
    <row r="29" spans="2:16" ht="34.5" customHeight="1">
      <c r="B29" s="13">
        <v>43991</v>
      </c>
      <c r="C29" s="14" t="s">
        <v>57</v>
      </c>
      <c r="D29" s="14" t="s">
        <v>41</v>
      </c>
      <c r="E29" s="14" t="s">
        <v>123</v>
      </c>
      <c r="F29" s="20" t="s">
        <v>124</v>
      </c>
      <c r="G29" s="24" t="s">
        <v>121</v>
      </c>
      <c r="H29" s="20" t="s">
        <v>122</v>
      </c>
      <c r="I29" s="22" t="s">
        <v>12</v>
      </c>
      <c r="J29" s="24" t="s">
        <v>46</v>
      </c>
      <c r="L29" s="25">
        <v>2.1100000000000001E-2</v>
      </c>
      <c r="M29" s="25">
        <v>2.1100000000000001E-2</v>
      </c>
      <c r="N29" s="15">
        <v>43990</v>
      </c>
      <c r="P29" s="16" t="s">
        <v>94</v>
      </c>
    </row>
    <row r="30" spans="2:16" ht="30.95">
      <c r="B30" s="13">
        <v>44013</v>
      </c>
      <c r="C30" s="14" t="s">
        <v>125</v>
      </c>
      <c r="D30" s="14" t="s">
        <v>58</v>
      </c>
      <c r="E30" s="14" t="s">
        <v>126</v>
      </c>
      <c r="F30" s="66" t="s">
        <v>127</v>
      </c>
      <c r="G30" s="21" t="s">
        <v>64</v>
      </c>
      <c r="H30" s="20" t="s">
        <v>128</v>
      </c>
      <c r="I30" s="22" t="s">
        <v>12</v>
      </c>
      <c r="J30" s="24" t="s">
        <v>46</v>
      </c>
      <c r="L30" s="25">
        <v>7.2999999999999995E-2</v>
      </c>
      <c r="M30" s="25">
        <v>7.1999999999999995E-2</v>
      </c>
      <c r="N30" s="15">
        <v>44013</v>
      </c>
      <c r="P30" s="16" t="s">
        <v>94</v>
      </c>
    </row>
    <row r="31" spans="2:16" ht="30.95">
      <c r="B31" s="13">
        <v>44013</v>
      </c>
      <c r="C31" s="14" t="s">
        <v>125</v>
      </c>
      <c r="D31" s="14" t="s">
        <v>58</v>
      </c>
      <c r="E31" s="14" t="s">
        <v>129</v>
      </c>
      <c r="F31" s="66" t="s">
        <v>130</v>
      </c>
      <c r="G31" s="21" t="s">
        <v>64</v>
      </c>
      <c r="H31" s="20" t="s">
        <v>131</v>
      </c>
      <c r="I31" s="22" t="s">
        <v>12</v>
      </c>
      <c r="J31" s="24" t="s">
        <v>46</v>
      </c>
      <c r="L31" s="25">
        <v>4.7E-2</v>
      </c>
      <c r="M31" s="25">
        <v>4.5999999999999999E-2</v>
      </c>
      <c r="N31" s="15">
        <v>44013</v>
      </c>
      <c r="P31" s="16" t="s">
        <v>94</v>
      </c>
    </row>
    <row r="32" spans="2:16" ht="46.5">
      <c r="B32" s="13">
        <v>44019</v>
      </c>
      <c r="C32" s="14" t="s">
        <v>115</v>
      </c>
      <c r="D32" s="14" t="s">
        <v>41</v>
      </c>
      <c r="E32" s="14" t="s">
        <v>126</v>
      </c>
      <c r="F32" s="66" t="s">
        <v>132</v>
      </c>
      <c r="G32" s="21" t="s">
        <v>64</v>
      </c>
      <c r="H32" s="20" t="s">
        <v>133</v>
      </c>
      <c r="I32" s="22" t="s">
        <v>12</v>
      </c>
      <c r="J32" s="24" t="s">
        <v>46</v>
      </c>
      <c r="L32" s="65">
        <v>0.105</v>
      </c>
      <c r="M32" s="25">
        <v>0.1</v>
      </c>
      <c r="N32" s="15">
        <v>44019</v>
      </c>
      <c r="P32" s="16" t="s">
        <v>94</v>
      </c>
    </row>
    <row r="33" spans="2:16" ht="108.6">
      <c r="B33" s="13">
        <v>44019</v>
      </c>
      <c r="C33" s="14" t="s">
        <v>115</v>
      </c>
      <c r="D33" s="14" t="s">
        <v>41</v>
      </c>
      <c r="E33" s="14" t="s">
        <v>134</v>
      </c>
      <c r="F33" s="66" t="s">
        <v>135</v>
      </c>
      <c r="G33" s="24" t="s">
        <v>121</v>
      </c>
      <c r="H33" s="20" t="s">
        <v>136</v>
      </c>
      <c r="I33" s="22" t="s">
        <v>12</v>
      </c>
      <c r="J33" s="24" t="s">
        <v>46</v>
      </c>
      <c r="L33" s="25">
        <v>0.04</v>
      </c>
      <c r="M33" s="25">
        <v>0.04</v>
      </c>
      <c r="N33" s="15">
        <v>44019</v>
      </c>
      <c r="P33" s="16" t="s">
        <v>94</v>
      </c>
    </row>
    <row r="34" spans="2:16">
      <c r="B34" s="13">
        <v>44081</v>
      </c>
      <c r="C34" s="14" t="s">
        <v>66</v>
      </c>
      <c r="D34" s="14" t="s">
        <v>41</v>
      </c>
      <c r="E34" s="14" t="s">
        <v>137</v>
      </c>
      <c r="F34" s="68" t="s">
        <v>120</v>
      </c>
      <c r="G34" s="21" t="s">
        <v>121</v>
      </c>
      <c r="H34" s="68" t="s">
        <v>122</v>
      </c>
      <c r="I34" s="67" t="s">
        <v>10</v>
      </c>
      <c r="J34" s="21" t="s">
        <v>138</v>
      </c>
      <c r="L34" s="25">
        <v>0.02</v>
      </c>
      <c r="M34" s="25">
        <v>2.1100000000000001E-2</v>
      </c>
      <c r="N34" s="15" t="s">
        <v>139</v>
      </c>
      <c r="P34" s="16" t="s">
        <v>94</v>
      </c>
    </row>
    <row r="35" spans="2:16" ht="15.75">
      <c r="B35" s="13">
        <v>44081</v>
      </c>
      <c r="C35" s="14" t="s">
        <v>66</v>
      </c>
      <c r="D35" s="14" t="s">
        <v>41</v>
      </c>
      <c r="E35" s="14" t="s">
        <v>140</v>
      </c>
      <c r="F35" s="68" t="s">
        <v>124</v>
      </c>
      <c r="G35" s="21" t="s">
        <v>121</v>
      </c>
      <c r="H35" s="68" t="s">
        <v>122</v>
      </c>
      <c r="I35" s="67" t="s">
        <v>10</v>
      </c>
      <c r="J35" s="21" t="s">
        <v>141</v>
      </c>
      <c r="L35" s="25">
        <v>0.02</v>
      </c>
      <c r="M35" s="25">
        <v>2.1100000000000001E-2</v>
      </c>
      <c r="N35" s="15" t="s">
        <v>139</v>
      </c>
      <c r="P35" s="16" t="s">
        <v>94</v>
      </c>
    </row>
    <row r="36" spans="2:16" ht="32.25">
      <c r="B36" s="13">
        <v>44413</v>
      </c>
      <c r="C36" s="14" t="s">
        <v>57</v>
      </c>
      <c r="D36" s="14" t="s">
        <v>41</v>
      </c>
      <c r="E36" s="14" t="s">
        <v>142</v>
      </c>
      <c r="F36" s="20" t="s">
        <v>143</v>
      </c>
      <c r="G36" s="24" t="s">
        <v>64</v>
      </c>
      <c r="H36" s="20" t="s">
        <v>144</v>
      </c>
      <c r="I36" s="22" t="s">
        <v>10</v>
      </c>
      <c r="J36" s="24" t="s">
        <v>145</v>
      </c>
      <c r="K36" s="25">
        <v>9.8000000000000004E-2</v>
      </c>
      <c r="L36" s="25">
        <v>9.8000000000000004E-2</v>
      </c>
      <c r="M36" s="65">
        <v>9.8000000000000004E-2</v>
      </c>
      <c r="N36" s="15">
        <v>44413</v>
      </c>
      <c r="P36" s="16" t="s">
        <v>94</v>
      </c>
    </row>
    <row r="37" spans="2:16" ht="31.5">
      <c r="B37" s="13">
        <v>44663</v>
      </c>
      <c r="C37" s="14" t="s">
        <v>57</v>
      </c>
      <c r="D37" s="14" t="s">
        <v>41</v>
      </c>
      <c r="E37" s="14" t="s">
        <v>146</v>
      </c>
      <c r="F37" s="21" t="s">
        <v>147</v>
      </c>
      <c r="G37" s="21" t="s">
        <v>64</v>
      </c>
      <c r="H37" s="20" t="s">
        <v>148</v>
      </c>
      <c r="I37" s="22" t="s">
        <v>149</v>
      </c>
      <c r="J37" s="24" t="s">
        <v>145</v>
      </c>
      <c r="K37" s="63">
        <v>5.2900000000000003E-2</v>
      </c>
      <c r="L37" s="63">
        <v>5.2900000000000003E-2</v>
      </c>
      <c r="M37" s="63">
        <v>5.2900000000000003E-2</v>
      </c>
      <c r="N37" s="15">
        <v>44662</v>
      </c>
      <c r="P37" s="16" t="s">
        <v>94</v>
      </c>
    </row>
    <row r="38" spans="2:16" ht="113.25">
      <c r="B38" s="13">
        <v>44811</v>
      </c>
      <c r="C38" s="14" t="s">
        <v>57</v>
      </c>
      <c r="D38" s="14" t="s">
        <v>41</v>
      </c>
      <c r="E38" s="14" t="s">
        <v>150</v>
      </c>
      <c r="F38" s="21" t="s">
        <v>151</v>
      </c>
      <c r="G38" s="24" t="s">
        <v>121</v>
      </c>
      <c r="H38" s="20" t="s">
        <v>152</v>
      </c>
      <c r="I38" s="22" t="s">
        <v>149</v>
      </c>
      <c r="J38" s="24" t="s">
        <v>145</v>
      </c>
      <c r="K38" s="25">
        <v>0.04</v>
      </c>
      <c r="L38" s="25">
        <v>0.04</v>
      </c>
      <c r="M38" s="25">
        <v>0.04</v>
      </c>
      <c r="N38" s="15">
        <v>44811</v>
      </c>
      <c r="P38" s="16" t="s">
        <v>94</v>
      </c>
    </row>
    <row r="39" spans="2:16" ht="32.25">
      <c r="B39" s="13">
        <v>44942</v>
      </c>
      <c r="C39" s="14" t="s">
        <v>57</v>
      </c>
      <c r="D39" s="14" t="s">
        <v>41</v>
      </c>
      <c r="E39" s="14" t="s">
        <v>153</v>
      </c>
      <c r="F39" s="21" t="s">
        <v>154</v>
      </c>
      <c r="G39" s="24" t="s">
        <v>121</v>
      </c>
      <c r="H39" s="20" t="s">
        <v>155</v>
      </c>
      <c r="I39" s="22" t="s">
        <v>149</v>
      </c>
      <c r="J39" s="24" t="s">
        <v>145</v>
      </c>
      <c r="K39" s="25">
        <v>0.14580000000000001</v>
      </c>
      <c r="L39" s="25">
        <v>0.14580000000000001</v>
      </c>
      <c r="M39" s="25">
        <v>0.14580000000000001</v>
      </c>
      <c r="N39" s="15">
        <v>44942</v>
      </c>
      <c r="P39" s="16" t="s">
        <v>94</v>
      </c>
    </row>
    <row r="40" spans="2:16">
      <c r="F40" s="14"/>
    </row>
    <row r="41" spans="2:16">
      <c r="F41" s="14"/>
    </row>
    <row r="42" spans="2:16">
      <c r="F42" s="14"/>
    </row>
    <row r="43" spans="2:16">
      <c r="F43" s="14"/>
    </row>
    <row r="44" spans="2:16">
      <c r="F44" s="14"/>
    </row>
    <row r="45" spans="2:16">
      <c r="F45" s="14"/>
    </row>
    <row r="46" spans="2:16">
      <c r="F46" s="14"/>
    </row>
    <row r="47" spans="2:16">
      <c r="F47" s="14"/>
    </row>
    <row r="48" spans="2:16">
      <c r="F48" s="14"/>
    </row>
    <row r="49" spans="6:6">
      <c r="F49" s="14"/>
    </row>
    <row r="50" spans="6:6">
      <c r="F50" s="14"/>
    </row>
    <row r="51" spans="6:6">
      <c r="F51" s="14"/>
    </row>
    <row r="52" spans="6:6">
      <c r="F52" s="14"/>
    </row>
    <row r="53" spans="6:6">
      <c r="F53" s="14"/>
    </row>
    <row r="54" spans="6:6">
      <c r="F54" s="14"/>
    </row>
  </sheetData>
  <autoFilter ref="B2:J54" xr:uid="{5000A908-B149-474D-83DB-C65CA1DAFED6}"/>
  <dataConsolidate>
    <dataRefs count="1">
      <dataRef ref="D38:D52" sheet="Label Matrix"/>
    </dataRefs>
  </dataConsolidate>
  <phoneticPr fontId="18" type="noConversion"/>
  <conditionalFormatting sqref="E1:E26 E28:E31 E55:E1048576 E34:E35">
    <cfRule type="duplicateValues" dxfId="3" priority="4"/>
  </conditionalFormatting>
  <conditionalFormatting sqref="E27">
    <cfRule type="duplicateValues" dxfId="2" priority="3"/>
  </conditionalFormatting>
  <conditionalFormatting sqref="E32:E33">
    <cfRule type="duplicateValues" dxfId="1" priority="2"/>
  </conditionalFormatting>
  <conditionalFormatting sqref="E36">
    <cfRule type="duplicateValues" dxfId="0" priority="1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E76FB0F3-CCE4-480E-AD14-599B2454E0BE}">
          <x14:formula1>
            <xm:f>'Process Flow'!$A$3:$A$4</xm:f>
          </x14:formula1>
          <xm:sqref>I3:I568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ED02AA1BB541468CECFF4539B0C960" ma:contentTypeVersion="16" ma:contentTypeDescription="Create a new document." ma:contentTypeScope="" ma:versionID="09d42ff1c5dfd10ab33c0c01f2196bef">
  <xsd:schema xmlns:xsd="http://www.w3.org/2001/XMLSchema" xmlns:xs="http://www.w3.org/2001/XMLSchema" xmlns:p="http://schemas.microsoft.com/office/2006/metadata/properties" xmlns:ns2="4ef44c59-68dc-4a22-8a55-eab796b0f945" xmlns:ns3="64fe8c59-3550-437a-9cc1-69277fe2ea73" xmlns:ns4="1ac161c2-663c-412e-b565-2279acea8f17" targetNamespace="http://schemas.microsoft.com/office/2006/metadata/properties" ma:root="true" ma:fieldsID="bd959d1d8465b9fff2ca89db754c37bb" ns2:_="" ns3:_="" ns4:_="">
    <xsd:import namespace="4ef44c59-68dc-4a22-8a55-eab796b0f945"/>
    <xsd:import namespace="64fe8c59-3550-437a-9cc1-69277fe2ea73"/>
    <xsd:import namespace="1ac161c2-663c-412e-b565-2279acea8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44c59-68dc-4a22-8a55-eab796b0f9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e8c59-3550-437a-9cc1-69277fe2ea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b2ea4d8-1d4a-4483-8e3b-694dc79062a7}" ma:internalName="TaxCatchAll" ma:showField="CatchAllData" ma:web="1ac161c2-663c-412e-b565-2279acea8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161c2-663c-412e-b565-2279acea8f17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f44c59-68dc-4a22-8a55-eab796b0f945">
      <Terms xmlns="http://schemas.microsoft.com/office/infopath/2007/PartnerControls"/>
    </lcf76f155ced4ddcb4097134ff3c332f>
    <TaxCatchAll xmlns="64fe8c59-3550-437a-9cc1-69277fe2ea73" xsi:nil="true"/>
  </documentManagement>
</p:properties>
</file>

<file path=customXml/itemProps1.xml><?xml version="1.0" encoding="utf-8"?>
<ds:datastoreItem xmlns:ds="http://schemas.openxmlformats.org/officeDocument/2006/customXml" ds:itemID="{07C85E5D-3E02-4E10-9DE7-1FFBDCBBA23B}"/>
</file>

<file path=customXml/itemProps2.xml><?xml version="1.0" encoding="utf-8"?>
<ds:datastoreItem xmlns:ds="http://schemas.openxmlformats.org/officeDocument/2006/customXml" ds:itemID="{ACFC8E48-6793-480E-8256-ED807F17F52B}"/>
</file>

<file path=customXml/itemProps3.xml><?xml version="1.0" encoding="utf-8"?>
<ds:datastoreItem xmlns:ds="http://schemas.openxmlformats.org/officeDocument/2006/customXml" ds:itemID="{DD9C7085-E487-4B3A-BE58-F425B33F18A7}"/>
</file>

<file path=customXml/itemProps4.xml><?xml version="1.0" encoding="utf-8"?>
<ds:datastoreItem xmlns:ds="http://schemas.openxmlformats.org/officeDocument/2006/customXml" ds:itemID="{FB59FDAE-81AA-496E-82CD-8C3D0D5B7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Hong, Tracy (PSGO NB RFQ)</dc:creator>
  <cp:keywords/>
  <dc:description/>
  <cp:lastModifiedBy/>
  <cp:revision/>
  <dcterms:created xsi:type="dcterms:W3CDTF">2019-03-12T04:56:46Z</dcterms:created>
  <dcterms:modified xsi:type="dcterms:W3CDTF">2023-09-07T05:30:42Z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0x01010013ED02AA1BB541468CECFF4539B0C960</vt:lpwstr>
  </property>
  <property fmtid="{D5CDD505-2E9C-101B-9397-08002B2CF9AE}" pid="3" name="MediaServiceImageTags">
    <vt:lpwstr/>
  </property>
</Properties>
</file>